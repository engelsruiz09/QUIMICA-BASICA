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dri\OneDrive\Documentos\TAREAS\2022\Segundo ciclo 2022\Quimica\Lab\"/>
    </mc:Choice>
  </mc:AlternateContent>
  <xr:revisionPtr revIDLastSave="0" documentId="13_ncr:1_{084A43CC-0E7E-4F01-B027-FB74E1D1ED1C}" xr6:coauthVersionLast="47" xr6:coauthVersionMax="47" xr10:uidLastSave="{00000000-0000-0000-0000-000000000000}"/>
  <bookViews>
    <workbookView xWindow="-108" yWindow="-108" windowWidth="23256" windowHeight="13176" xr2:uid="{BB57E25E-FD62-4FD3-8D61-9B7A5B8FB744}"/>
  </bookViews>
  <sheets>
    <sheet name="Resultados de la práctica" sheetId="1" r:id="rId1"/>
    <sheet name="Diagrama de equipo" sheetId="2" r:id="rId2"/>
    <sheet name="Datos" sheetId="3" r:id="rId3"/>
    <sheet name="Incertidumbre en mediciones" sheetId="6" r:id="rId4"/>
    <sheet name="Muestras de calculo" sheetId="4" r:id="rId5"/>
    <sheet name="Calculos" sheetId="7" r:id="rId6"/>
    <sheet name="Cambios de procedimiento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H8" i="3"/>
  <c r="J8" i="3"/>
  <c r="J7" i="3"/>
  <c r="J6" i="3"/>
  <c r="J5" i="3"/>
  <c r="J4" i="3"/>
  <c r="J3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<sst xmlns="http://schemas.openxmlformats.org/spreadsheetml/2006/main" count="102" uniqueCount="75">
  <si>
    <t>N/A</t>
  </si>
  <si>
    <t>En el manual indicaba que se tenia que usar un beacker de 150 mL, pero debido a que era muy pequeño se utilizo uno de 250 mL.</t>
  </si>
  <si>
    <t>Peso (g)</t>
  </si>
  <si>
    <t>incertidumbre</t>
  </si>
  <si>
    <t>Objeto</t>
  </si>
  <si>
    <t>±0.05</t>
  </si>
  <si>
    <t>vidrio de reloj</t>
  </si>
  <si>
    <t>vidrio de reloj + pastilla en paquete</t>
  </si>
  <si>
    <t>vidrio de reloj + pastilla</t>
  </si>
  <si>
    <t>vidrio de reloj + beacker</t>
  </si>
  <si>
    <t>vidrio de reloj + beacker + vinagre</t>
  </si>
  <si>
    <t>aluminio</t>
  </si>
  <si>
    <t>vidrio de reloj + beacker + vinagre + pastilla + aluminio</t>
  </si>
  <si>
    <t>vidrio de reloj + beacker + vinagre + pastilla + aluminio (TRAS 10min.)</t>
  </si>
  <si>
    <t>DATOS CALCULADOS</t>
  </si>
  <si>
    <t>DATOS OBTENIDOS</t>
  </si>
  <si>
    <t>Pastilla en paquete</t>
  </si>
  <si>
    <t>Pastilla</t>
  </si>
  <si>
    <t>Paquete de pastilla</t>
  </si>
  <si>
    <t>Beacker 250mL</t>
  </si>
  <si>
    <t>Vinagre</t>
  </si>
  <si>
    <t>DATOS TEORICOS</t>
  </si>
  <si>
    <t>Bicarbonato de sodio</t>
  </si>
  <si>
    <t>Acido citrico</t>
  </si>
  <si>
    <t>Acido acetilsalicilico</t>
  </si>
  <si>
    <t>±</t>
  </si>
  <si>
    <t>INCERTIDUMBRE</t>
  </si>
  <si>
    <t>Balanza granataria</t>
  </si>
  <si>
    <t>Probeta 50 mL</t>
  </si>
  <si>
    <t>±0.05 g</t>
  </si>
  <si>
    <t>±0.5 mL</t>
  </si>
  <si>
    <t>Masa molar CO2</t>
  </si>
  <si>
    <t>Cambios</t>
  </si>
  <si>
    <t>Obtencion de incerteza (resta)</t>
  </si>
  <si>
    <t>Resta de sistemas para obtener datos aparte</t>
  </si>
  <si>
    <t>masa de CO2 perdida</t>
  </si>
  <si>
    <t xml:space="preserve">Masa perdida de </t>
  </si>
  <si>
    <t>Masa de bicarbonato de sodio</t>
  </si>
  <si>
    <t>Descripcion</t>
  </si>
  <si>
    <t>Valor</t>
  </si>
  <si>
    <t>%error masa bicarbonato de sodio</t>
  </si>
  <si>
    <t>Valor de bicarbonato de fabricante</t>
  </si>
  <si>
    <t>Masa molar NaHCO3</t>
  </si>
  <si>
    <t>masa de NaHCO3</t>
  </si>
  <si>
    <t>*</t>
  </si>
  <si>
    <t>PASTILLA</t>
  </si>
  <si>
    <t>CO2</t>
  </si>
  <si>
    <t>Estequimetria para obtener masa de bicarbonato de sodio</t>
  </si>
  <si>
    <t>Division de datos</t>
  </si>
  <si>
    <t>Se utilizó un pedazo de aluminio como intermediario entre el plato de la balanza y el beacker con la reaccion ocurriendo.</t>
  </si>
  <si>
    <t>Se realizo corrida doble</t>
  </si>
  <si>
    <t>1 mol de CO2 = 44.01g CO2</t>
  </si>
  <si>
    <t>1 mol de NaHCO3 = 84.018g NaHCO3</t>
  </si>
  <si>
    <t>Multiplicacion de Datos</t>
  </si>
  <si>
    <t>% error Bicarbonato de sodio</t>
  </si>
  <si>
    <t>volumen vinagre</t>
  </si>
  <si>
    <t>40 mL</t>
  </si>
  <si>
    <t>Sutancias</t>
  </si>
  <si>
    <t>Es liquido color café con un fuerte olor</t>
  </si>
  <si>
    <t xml:space="preserve">Es color blanco, poco mas grande que una ficha de 1Q, es utilizada para calmar molestias estomacales </t>
  </si>
  <si>
    <t>Es un gas invisible a la vista de las personas, el cual es el resultado de la transformacion del oxigeno con otros gases en el ambiente</t>
  </si>
  <si>
    <t>Equipo</t>
  </si>
  <si>
    <t>Beacker</t>
  </si>
  <si>
    <t>Probeta</t>
  </si>
  <si>
    <t>Vidrio de reloj</t>
  </si>
  <si>
    <t>Balanza</t>
  </si>
  <si>
    <t>Es muy similar a un vaso y es utilizado para contener sustancias y en ciertas ocaciones si son pyrex se calientan sustancias y en ellas tambien se pueden medir en ellos</t>
  </si>
  <si>
    <t>Es un recibiente delgado y alto el cual se utiliza para medir liquidos viendo el menizco que se forma en la parte mas alta del liquido</t>
  </si>
  <si>
    <t>Es un vidrio curvo en el cual se cotienen sustancias pequeñas o en polvo para poder, en nuestro caso pesarlas en la balanza</t>
  </si>
  <si>
    <t>Es un instrumento de medicion de peso para poder saber el peso en gramos del objeto para tomar datos fisicos de la sustancia en cuestion</t>
  </si>
  <si>
    <t>Practica</t>
  </si>
  <si>
    <t>A</t>
  </si>
  <si>
    <t>Esta practica se virtio 40mL de vinagre en una brobeta de 50mL y posteriormente lo trasladamos al beacker en el cual se coloco la pastilla la cual al contacto  con el vinagre y enseguida se tapo el beacker con el vidrio de reloj para evitar que se libere todo el CO2 posible para poder medir el peso del CO2 gaseoso que se produjo.</t>
  </si>
  <si>
    <t>CÉSAR ADRIAN SILVA PÉREZ / 1184519</t>
  </si>
  <si>
    <t>Se determino que hubo un 61.5% de error debido a que en el beacker hubo liberacion de CO2, no se puede concluir si el dato del fabricante es correcto o no debido a la perdida de masa de CO2.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</si>
</sst>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1" fillId="3" borderId="1" xfId="0" applyFont="1" applyFill="1" applyBorder="1" applyAlignment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0" fillId="0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0" xfId="0" applyFont="1" applyFill="1"/>
    <xf numFmtId="0" fontId="0" fillId="7" borderId="1" xfId="0" applyFill="1" applyBorder="1"/>
    <xf numFmtId="0" fontId="0" fillId="0" borderId="6" xfId="0" applyBorder="1"/>
    <xf numFmtId="0" fontId="0" fillId="2" borderId="6" xfId="0" applyFill="1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1154430</xdr:colOff>
      <xdr:row>2</xdr:row>
      <xdr:rowOff>19050</xdr:rowOff>
    </xdr:from>
    <xdr:ext cx="27687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7082CD4-F4C8-61FC-AF60-7F29DC04F739}"/>
                </a:ext>
              </a:extLst>
            </xdr:cNvPr>
            <xdr:cNvSpPr txBox="1"/>
          </xdr:nvSpPr>
          <xdr:spPr>
            <a:xfrm>
              <a:off x="2007870" y="19050"/>
              <a:ext cx="276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GT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7082CD4-F4C8-61FC-AF60-7F29DC04F739}"/>
                </a:ext>
              </a:extLst>
            </xdr:cNvPr>
            <xdr:cNvSpPr txBox="1"/>
          </xdr:nvSpPr>
          <xdr:spPr>
            <a:xfrm>
              <a:off x="2007870" y="19050"/>
              <a:ext cx="27687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𝐶𝑂_2</a:t>
              </a:r>
              <a:endParaRPr lang="es-GT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72440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953D6D8-4110-4CA0-BC8E-ECD895F69214}"/>
                </a:ext>
              </a:extLst>
            </xdr:cNvPr>
            <xdr:cNvSpPr txBox="1"/>
          </xdr:nvSpPr>
          <xdr:spPr>
            <a:xfrm>
              <a:off x="0" y="198120"/>
              <a:ext cx="472440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600" b="0"/>
                <a:t>-Pastilla en paquete(g) -&gt;</a:t>
              </a:r>
              <a:r>
                <a:rPr lang="es-MX" sz="1600" b="0" baseline="0"/>
                <a:t> </a:t>
              </a:r>
              <a:r>
                <a:rPr lang="es-MX" sz="1600" b="0"/>
                <a:t>  </a:t>
              </a:r>
              <a14:m>
                <m:oMath xmlns:m="http://schemas.openxmlformats.org/officeDocument/2006/math">
                  <m:r>
                    <a:rPr lang="es-MX" sz="1600" b="0" i="1">
                      <a:latin typeface="Cambria Math" panose="02040503050406030204" pitchFamily="18" charset="0"/>
                    </a:rPr>
                    <m:t>34.2</m:t>
                  </m:r>
                  <m:r>
                    <a:rPr lang="es-MX" sz="1600" b="0" i="1">
                      <a:latin typeface="Cambria Math" panose="02040503050406030204" pitchFamily="18" charset="0"/>
                    </a:rPr>
                    <m:t>𝑔</m:t>
                  </m:r>
                  <m:r>
                    <a:rPr lang="es-MX" sz="1600" b="0" i="1">
                      <a:latin typeface="Cambria Math" panose="02040503050406030204" pitchFamily="18" charset="0"/>
                    </a:rPr>
                    <m:t> −30.7</m:t>
                  </m:r>
                  <m:r>
                    <a:rPr lang="es-MX" sz="1600" b="0" i="1">
                      <a:latin typeface="Cambria Math" panose="02040503050406030204" pitchFamily="18" charset="0"/>
                    </a:rPr>
                    <m:t>𝑔</m:t>
                  </m:r>
                  <m:r>
                    <a:rPr lang="es-MX" sz="1600" b="0" i="1">
                      <a:latin typeface="Cambria Math" panose="02040503050406030204" pitchFamily="18" charset="0"/>
                    </a:rPr>
                    <m:t>=3.5 </m:t>
                  </m:r>
                  <m:r>
                    <a:rPr lang="es-MX" sz="1600" b="0" i="1">
                      <a:latin typeface="Cambria Math" panose="02040503050406030204" pitchFamily="18" charset="0"/>
                    </a:rPr>
                    <m:t>𝑔</m:t>
                  </m:r>
                </m:oMath>
              </a14:m>
              <a:endParaRPr lang="es-GT" sz="16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953D6D8-4110-4CA0-BC8E-ECD895F69214}"/>
                </a:ext>
              </a:extLst>
            </xdr:cNvPr>
            <xdr:cNvSpPr txBox="1"/>
          </xdr:nvSpPr>
          <xdr:spPr>
            <a:xfrm>
              <a:off x="0" y="198120"/>
              <a:ext cx="472440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600" b="0"/>
                <a:t>-Pastilla en paquete(g) -&gt;</a:t>
              </a:r>
              <a:r>
                <a:rPr lang="es-MX" sz="1600" b="0" baseline="0"/>
                <a:t> </a:t>
              </a:r>
              <a:r>
                <a:rPr lang="es-MX" sz="1600" b="0"/>
                <a:t>  </a:t>
              </a:r>
              <a:r>
                <a:rPr lang="es-MX" sz="1600" b="0" i="0">
                  <a:latin typeface="Cambria Math" panose="02040503050406030204" pitchFamily="18" charset="0"/>
                </a:rPr>
                <a:t>34.2𝑔 −30.7𝑔=3.5 𝑔</a:t>
              </a:r>
              <a:endParaRPr lang="es-GT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4</xdr:row>
      <xdr:rowOff>99060</xdr:rowOff>
    </xdr:from>
    <xdr:ext cx="1485900" cy="553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8CD1C31-5CCD-4EDF-99BB-3F4FB0A102DF}"/>
                </a:ext>
              </a:extLst>
            </xdr:cNvPr>
            <xdr:cNvSpPr txBox="1"/>
          </xdr:nvSpPr>
          <xdr:spPr>
            <a:xfrm>
              <a:off x="0" y="1882140"/>
              <a:ext cx="148590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44.01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s-GT" sz="1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8CD1C31-5CCD-4EDF-99BB-3F4FB0A102DF}"/>
                </a:ext>
              </a:extLst>
            </xdr:cNvPr>
            <xdr:cNvSpPr txBox="1"/>
          </xdr:nvSpPr>
          <xdr:spPr>
            <a:xfrm>
              <a:off x="0" y="1882140"/>
              <a:ext cx="148590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((1𝑚𝑜𝑙 𝐶𝑂_2)/(44.01𝑔 𝐶𝑂_2 ))</a:t>
              </a:r>
              <a:endParaRPr lang="es-GT" sz="1600"/>
            </a:p>
          </xdr:txBody>
        </xdr:sp>
      </mc:Fallback>
    </mc:AlternateContent>
    <xdr:clientData/>
  </xdr:oneCellAnchor>
  <xdr:oneCellAnchor>
    <xdr:from>
      <xdr:col>0</xdr:col>
      <xdr:colOff>91440</xdr:colOff>
      <xdr:row>10</xdr:row>
      <xdr:rowOff>91440</xdr:rowOff>
    </xdr:from>
    <xdr:ext cx="2651760" cy="553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35B4A74-BE5A-46AF-9754-AA259C58DF05}"/>
                </a:ext>
              </a:extLst>
            </xdr:cNvPr>
            <xdr:cNvSpPr txBox="1"/>
          </xdr:nvSpPr>
          <xdr:spPr>
            <a:xfrm>
              <a:off x="91440" y="2072640"/>
              <a:ext cx="265176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0.4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44.01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s-GT" sz="16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35B4A74-BE5A-46AF-9754-AA259C58DF05}"/>
                </a:ext>
              </a:extLst>
            </xdr:cNvPr>
            <xdr:cNvSpPr txBox="1"/>
          </xdr:nvSpPr>
          <xdr:spPr>
            <a:xfrm>
              <a:off x="91440" y="2072640"/>
              <a:ext cx="265176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0.4𝑔 𝐶𝑂_2∗((1𝑚𝑜𝑙 𝐶𝑂_2)/(44.01𝑔 𝐶𝑂_2 ))</a:t>
              </a:r>
              <a:endParaRPr lang="es-GT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</xdr:colOff>
      <xdr:row>2</xdr:row>
      <xdr:rowOff>41910</xdr:rowOff>
    </xdr:from>
    <xdr:ext cx="4423410" cy="3145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27108C7-8728-4C6C-82F7-B7DE2C74BFCA}"/>
                </a:ext>
              </a:extLst>
            </xdr:cNvPr>
            <xdr:cNvSpPr txBox="1"/>
          </xdr:nvSpPr>
          <xdr:spPr>
            <a:xfrm>
              <a:off x="11430" y="240030"/>
              <a:ext cx="4423410" cy="3145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GT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rad>
                      <m:radPr>
                        <m:degHide m:val="on"/>
                        <m:ctrlPr>
                          <a:rPr lang="es-GT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p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𝐵</m:t>
                            </m:r>
                          </m:e>
                          <m:sup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±</m:t>
                    </m:r>
                    <m:rad>
                      <m:radPr>
                        <m:degHide m:val="on"/>
                        <m:ctrlP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0.05</m:t>
                                </m:r>
                              </m:e>
                            </m:d>
                          </m:e>
                          <m:sup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0.05</m:t>
                                </m:r>
                              </m:e>
                            </m:d>
                          </m:e>
                          <m:sup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±0.071</m:t>
                    </m:r>
                  </m:oMath>
                </m:oMathPara>
              </a14:m>
              <a:endParaRPr lang="es-GT" sz="16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27108C7-8728-4C6C-82F7-B7DE2C74BFCA}"/>
                </a:ext>
              </a:extLst>
            </xdr:cNvPr>
            <xdr:cNvSpPr txBox="1"/>
          </xdr:nvSpPr>
          <xdr:spPr>
            <a:xfrm>
              <a:off x="11430" y="240030"/>
              <a:ext cx="4423410" cy="3145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GT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r>
                <a:rPr lang="es-GT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√(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𝐴^2+𝐵^2</a:t>
              </a:r>
              <a:r>
                <a:rPr lang="es-GT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)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±√((0.05)^2+(0.05)^2 )= ±0.071</a:t>
              </a:r>
              <a:endParaRPr lang="es-GT" sz="1600"/>
            </a:p>
          </xdr:txBody>
        </xdr:sp>
      </mc:Fallback>
    </mc:AlternateContent>
    <xdr:clientData/>
  </xdr:oneCellAnchor>
  <xdr:oneCellAnchor>
    <xdr:from>
      <xdr:col>0</xdr:col>
      <xdr:colOff>0</xdr:colOff>
      <xdr:row>6</xdr:row>
      <xdr:rowOff>68580</xdr:rowOff>
    </xdr:from>
    <xdr:ext cx="7658100" cy="553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7D5C06D-7FB8-43AE-832A-81E872AEB82E}"/>
                </a:ext>
              </a:extLst>
            </xdr:cNvPr>
            <xdr:cNvSpPr txBox="1"/>
          </xdr:nvSpPr>
          <xdr:spPr>
            <a:xfrm>
              <a:off x="0" y="2446020"/>
              <a:ext cx="765810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.4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d>
                      <m:dPr>
                        <m:ctrlPr>
                          <a:rPr lang="es-MX" sz="1600" b="0" i="1">
                            <a:solidFill>
                              <a:schemeClr val="accent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1 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44.01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solidFill>
                                  <a:schemeClr val="accent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solidFill>
                                      <a:schemeClr val="accent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  <m:d>
                      <m:dPr>
                        <m:ctrlP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𝑁𝑎𝐻𝐶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  <m:d>
                      <m:dPr>
                        <m:ctrlP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84.018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𝑁𝑎𝐻𝐶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</m:num>
                          <m:den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𝑚𝑜𝑙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𝑁𝑎𝐻𝐶</m:t>
                            </m:r>
                            <m:sSub>
                              <m:sSub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=0.76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𝑁𝑎𝐻𝐶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GT" sz="1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7D5C06D-7FB8-43AE-832A-81E872AEB82E}"/>
                </a:ext>
              </a:extLst>
            </xdr:cNvPr>
            <xdr:cNvSpPr txBox="1"/>
          </xdr:nvSpPr>
          <xdr:spPr>
            <a:xfrm>
              <a:off x="0" y="2446020"/>
              <a:ext cx="7658100" cy="553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.4𝑔 𝐶𝑂_2</a:t>
              </a:r>
              <a:r>
                <a:rPr lang="es-MX" sz="1600" b="0" i="0">
                  <a:solidFill>
                    <a:schemeClr val="accent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((1 𝑚𝑜𝑙 𝐶𝑂_2)/(44.01𝑔 𝐶𝑂_2 ))</a:t>
              </a:r>
              <a:r>
                <a:rPr lang="es-MX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((1𝑚𝑜𝑙 𝑁𝑎𝐻𝐶𝑂_3)/(1𝑚𝑜𝑙 𝐶𝑂_2 ))((84.018𝑔 𝑁𝑎𝐻𝐶𝑂_3)/(1𝑚𝑜𝑙 𝑁𝑎𝐻𝐶𝑂_3 ))=0.76𝑔 𝑁𝑎𝐻𝐶𝑂_3</a:t>
              </a:r>
              <a:endParaRPr lang="es-GT" sz="1600"/>
            </a:p>
          </xdr:txBody>
        </xdr:sp>
      </mc:Fallback>
    </mc:AlternateContent>
    <xdr:clientData/>
  </xdr:oneCellAnchor>
  <xdr:twoCellAnchor>
    <xdr:from>
      <xdr:col>0</xdr:col>
      <xdr:colOff>251460</xdr:colOff>
      <xdr:row>6</xdr:row>
      <xdr:rowOff>7620</xdr:rowOff>
    </xdr:from>
    <xdr:to>
      <xdr:col>2</xdr:col>
      <xdr:colOff>739140</xdr:colOff>
      <xdr:row>9</xdr:row>
      <xdr:rowOff>182880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781FD1E-379A-13E9-94AA-2112EA1A5761}"/>
            </a:ext>
          </a:extLst>
        </xdr:cNvPr>
        <xdr:cNvSpPr/>
      </xdr:nvSpPr>
      <xdr:spPr>
        <a:xfrm>
          <a:off x="251460" y="2385060"/>
          <a:ext cx="2194560" cy="76962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oneCellAnchor>
    <xdr:from>
      <xdr:col>0</xdr:col>
      <xdr:colOff>0</xdr:colOff>
      <xdr:row>12</xdr:row>
      <xdr:rowOff>68580</xdr:rowOff>
    </xdr:from>
    <xdr:ext cx="4423410" cy="5478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0C36362-6F6C-45EF-B512-702228650A8A}"/>
                </a:ext>
              </a:extLst>
            </xdr:cNvPr>
            <xdr:cNvSpPr txBox="1"/>
          </xdr:nvSpPr>
          <xdr:spPr>
            <a:xfrm>
              <a:off x="0" y="2446020"/>
              <a:ext cx="4423410" cy="547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16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ctrlP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600" b="0" i="1">
                                    <a:latin typeface="Cambria Math" panose="02040503050406030204" pitchFamily="18" charset="0"/>
                                  </a:rPr>
                                  <m:t>0.76−1.976</m:t>
                                </m:r>
                              </m:e>
                            </m:d>
                          </m:num>
                          <m:den>
                            <m:r>
                              <a:rPr lang="es-MX" sz="1600" b="0" i="1">
                                <a:latin typeface="Cambria Math" panose="02040503050406030204" pitchFamily="18" charset="0"/>
                              </a:rPr>
                              <m:t>1.976</m:t>
                            </m:r>
                          </m:den>
                        </m:f>
                      </m:e>
                    </m:d>
                    <m:r>
                      <a:rPr lang="es-MX" sz="1600" b="0" i="1">
                        <a:latin typeface="Cambria Math" panose="02040503050406030204" pitchFamily="18" charset="0"/>
                      </a:rPr>
                      <m:t>∗100=61.5%</m:t>
                    </m:r>
                  </m:oMath>
                </m:oMathPara>
              </a14:m>
              <a:endParaRPr lang="es-GT" sz="16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0C36362-6F6C-45EF-B512-702228650A8A}"/>
                </a:ext>
              </a:extLst>
            </xdr:cNvPr>
            <xdr:cNvSpPr txBox="1"/>
          </xdr:nvSpPr>
          <xdr:spPr>
            <a:xfrm>
              <a:off x="0" y="2446020"/>
              <a:ext cx="4423410" cy="5478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|((0.76−1.976))/1.976|∗100=61.5%</a:t>
              </a:r>
              <a:endParaRPr lang="es-GT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B483-2020-4BD5-9433-797A149AEA01}">
  <dimension ref="A1:XFD18"/>
  <sheetViews>
    <sheetView tabSelected="1" workbookViewId="0">
      <selection activeCell="B10" sqref="B10"/>
    </sheetView>
  </sheetViews>
  <sheetFormatPr baseColWidth="10" defaultRowHeight="15.6" x14ac:dyDescent="0.3"/>
  <cols>
    <col min="1" max="1" width="1.8984375" bestFit="1" customWidth="1"/>
    <col min="2" max="2" width="30.5" bestFit="1" customWidth="1"/>
    <col min="3" max="3" width="12.796875" bestFit="1" customWidth="1"/>
    <col min="4" max="4" width="1.8984375" bestFit="1" customWidth="1"/>
    <col min="7" max="7" width="22.19921875" customWidth="1"/>
    <col min="10" max="10" width="21.8984375" customWidth="1"/>
  </cols>
  <sheetData>
    <row r="1" spans="1:10" x14ac:dyDescent="0.3">
      <c r="A1" s="28" t="s">
        <v>73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">
      <c r="A2" s="14"/>
      <c r="B2" s="15" t="s">
        <v>38</v>
      </c>
      <c r="C2" s="29" t="s">
        <v>39</v>
      </c>
      <c r="D2" s="29"/>
      <c r="E2" s="29"/>
      <c r="F2" s="16"/>
      <c r="G2" s="16"/>
      <c r="H2" s="16"/>
      <c r="I2" s="16"/>
      <c r="J2" s="17"/>
    </row>
    <row r="3" spans="1:10" x14ac:dyDescent="0.3">
      <c r="A3" s="9">
        <v>1</v>
      </c>
      <c r="B3" s="9" t="s">
        <v>36</v>
      </c>
      <c r="C3" s="1">
        <v>0.40000000000000568</v>
      </c>
      <c r="D3" s="1" t="s">
        <v>25</v>
      </c>
      <c r="E3" s="7">
        <v>7.0710678118654766E-2</v>
      </c>
      <c r="F3" s="16"/>
      <c r="G3" s="16"/>
      <c r="H3" s="16"/>
      <c r="I3" s="16"/>
      <c r="J3" s="17"/>
    </row>
    <row r="4" spans="1:10" x14ac:dyDescent="0.3">
      <c r="A4" s="1">
        <v>2</v>
      </c>
      <c r="B4" s="1" t="s">
        <v>37</v>
      </c>
      <c r="C4" s="1">
        <v>0.76</v>
      </c>
      <c r="D4" s="1" t="s">
        <v>25</v>
      </c>
      <c r="E4" s="7">
        <v>7.0710678118654766E-2</v>
      </c>
      <c r="F4" s="16"/>
      <c r="G4" s="16"/>
      <c r="H4" s="16"/>
      <c r="I4" s="16"/>
      <c r="J4" s="17"/>
    </row>
    <row r="5" spans="1:10" x14ac:dyDescent="0.3">
      <c r="A5" s="1">
        <v>3</v>
      </c>
      <c r="B5" s="1" t="s">
        <v>40</v>
      </c>
      <c r="C5" s="30">
        <v>0.61499999999999999</v>
      </c>
      <c r="D5" s="31"/>
      <c r="E5" s="32"/>
      <c r="F5" s="16"/>
      <c r="G5" s="16"/>
      <c r="H5" s="16"/>
      <c r="I5" s="16"/>
      <c r="J5" s="17"/>
    </row>
    <row r="6" spans="1:10" x14ac:dyDescent="0.3">
      <c r="A6" s="1">
        <v>4</v>
      </c>
      <c r="B6" s="1" t="s">
        <v>41</v>
      </c>
      <c r="C6" s="33" t="s">
        <v>44</v>
      </c>
      <c r="D6" s="31"/>
      <c r="E6" s="32"/>
      <c r="F6" s="16"/>
      <c r="G6" s="16"/>
      <c r="H6" s="16"/>
      <c r="I6" s="16"/>
      <c r="J6" s="17"/>
    </row>
    <row r="7" spans="1:10" x14ac:dyDescent="0.3">
      <c r="A7" s="18"/>
      <c r="B7" s="16"/>
      <c r="C7" s="16"/>
      <c r="D7" s="16"/>
      <c r="E7" s="16"/>
      <c r="F7" s="16"/>
      <c r="G7" s="16"/>
      <c r="H7" s="16"/>
      <c r="I7" s="16"/>
      <c r="J7" s="17"/>
    </row>
    <row r="8" spans="1:10" ht="15.6" customHeight="1" x14ac:dyDescent="0.3">
      <c r="A8" s="18"/>
      <c r="B8" s="19" t="s">
        <v>44</v>
      </c>
      <c r="C8" s="34" t="s">
        <v>74</v>
      </c>
      <c r="D8" s="34"/>
      <c r="E8" s="34"/>
      <c r="F8" s="34"/>
      <c r="G8" s="34"/>
      <c r="H8" s="34"/>
      <c r="I8" s="34"/>
      <c r="J8" s="17"/>
    </row>
    <row r="9" spans="1:10" x14ac:dyDescent="0.3">
      <c r="A9" s="18"/>
      <c r="B9" s="16"/>
      <c r="C9" s="34"/>
      <c r="D9" s="34"/>
      <c r="E9" s="34"/>
      <c r="F9" s="34"/>
      <c r="G9" s="34"/>
      <c r="H9" s="34"/>
      <c r="I9" s="34"/>
      <c r="J9" s="17"/>
    </row>
    <row r="10" spans="1:10" ht="30" customHeight="1" x14ac:dyDescent="0.3">
      <c r="A10" s="18"/>
      <c r="B10" s="16"/>
      <c r="C10" s="34"/>
      <c r="D10" s="34"/>
      <c r="E10" s="34"/>
      <c r="F10" s="34"/>
      <c r="G10" s="34"/>
      <c r="H10" s="34"/>
      <c r="I10" s="34"/>
      <c r="J10" s="17"/>
    </row>
    <row r="11" spans="1:10" ht="31.8" customHeight="1" x14ac:dyDescent="0.3">
      <c r="A11" s="18"/>
      <c r="B11" s="16"/>
      <c r="C11" s="34"/>
      <c r="D11" s="34"/>
      <c r="E11" s="34"/>
      <c r="F11" s="34"/>
      <c r="G11" s="34"/>
      <c r="H11" s="34"/>
      <c r="I11" s="34"/>
      <c r="J11" s="17"/>
    </row>
    <row r="12" spans="1:10" x14ac:dyDescent="0.3">
      <c r="A12" s="18"/>
      <c r="B12" s="16"/>
      <c r="C12" s="34"/>
      <c r="D12" s="34"/>
      <c r="E12" s="34"/>
      <c r="F12" s="34"/>
      <c r="G12" s="34"/>
      <c r="H12" s="34"/>
      <c r="I12" s="34"/>
      <c r="J12" s="17"/>
    </row>
    <row r="13" spans="1:10" x14ac:dyDescent="0.3">
      <c r="A13" s="18"/>
      <c r="B13" s="16"/>
      <c r="C13" s="16"/>
      <c r="D13" s="16"/>
      <c r="E13" s="16"/>
      <c r="F13" s="16"/>
      <c r="G13" s="16"/>
      <c r="H13" s="16"/>
      <c r="I13" s="16"/>
      <c r="J13" s="17"/>
    </row>
    <row r="14" spans="1:10" x14ac:dyDescent="0.3">
      <c r="A14" s="18"/>
      <c r="B14" s="25" t="s">
        <v>57</v>
      </c>
      <c r="C14" s="25"/>
      <c r="D14" s="20"/>
      <c r="E14" s="20"/>
      <c r="F14" s="26" t="s">
        <v>61</v>
      </c>
      <c r="G14" s="27"/>
      <c r="H14" s="20"/>
      <c r="I14" s="26" t="s">
        <v>70</v>
      </c>
      <c r="J14" s="27"/>
    </row>
    <row r="15" spans="1:10" ht="234" x14ac:dyDescent="0.3">
      <c r="A15" s="18"/>
      <c r="B15" s="11" t="s">
        <v>20</v>
      </c>
      <c r="C15" s="10" t="s">
        <v>58</v>
      </c>
      <c r="D15" s="20"/>
      <c r="E15" s="20"/>
      <c r="F15" s="11" t="s">
        <v>62</v>
      </c>
      <c r="G15" s="10" t="s">
        <v>66</v>
      </c>
      <c r="H15" s="20"/>
      <c r="I15" s="11" t="s">
        <v>71</v>
      </c>
      <c r="J15" s="10" t="s">
        <v>72</v>
      </c>
    </row>
    <row r="16" spans="1:10" ht="140.4" x14ac:dyDescent="0.3">
      <c r="A16" s="18"/>
      <c r="B16" s="11" t="s">
        <v>17</v>
      </c>
      <c r="C16" s="10" t="s">
        <v>59</v>
      </c>
      <c r="D16" s="20"/>
      <c r="E16" s="20"/>
      <c r="F16" s="11" t="s">
        <v>63</v>
      </c>
      <c r="G16" s="10" t="s">
        <v>67</v>
      </c>
      <c r="H16" s="20"/>
      <c r="I16" s="20"/>
      <c r="J16" s="21"/>
    </row>
    <row r="17" spans="1:10 16384:16384" ht="187.2" x14ac:dyDescent="0.3">
      <c r="A17" s="18"/>
      <c r="B17" s="11" t="s">
        <v>46</v>
      </c>
      <c r="C17" s="10" t="s">
        <v>60</v>
      </c>
      <c r="D17" s="20"/>
      <c r="E17" s="20"/>
      <c r="F17" s="10" t="s">
        <v>64</v>
      </c>
      <c r="G17" s="10" t="s">
        <v>68</v>
      </c>
      <c r="H17" s="20"/>
      <c r="I17" s="20"/>
      <c r="J17" s="21"/>
      <c r="XFD17" t="s">
        <v>45</v>
      </c>
    </row>
    <row r="18" spans="1:10 16384:16384" ht="93.6" x14ac:dyDescent="0.3">
      <c r="A18" s="22"/>
      <c r="B18" s="23"/>
      <c r="C18" s="23"/>
      <c r="D18" s="23"/>
      <c r="E18" s="23"/>
      <c r="F18" s="11" t="s">
        <v>65</v>
      </c>
      <c r="G18" s="10" t="s">
        <v>69</v>
      </c>
      <c r="H18" s="23"/>
      <c r="I18" s="23"/>
      <c r="J18" s="24"/>
    </row>
  </sheetData>
  <mergeCells count="8">
    <mergeCell ref="B14:C14"/>
    <mergeCell ref="F14:G14"/>
    <mergeCell ref="I14:J14"/>
    <mergeCell ref="A1:J1"/>
    <mergeCell ref="C2:E2"/>
    <mergeCell ref="C5:E5"/>
    <mergeCell ref="C6:E6"/>
    <mergeCell ref="C8:I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1844-B1CF-4C76-A974-F72957306B89}">
  <dimension ref="A1:G15"/>
  <sheetViews>
    <sheetView workbookViewId="0">
      <selection activeCell="H8" sqref="H8"/>
    </sheetView>
  </sheetViews>
  <sheetFormatPr baseColWidth="10" defaultRowHeight="15.6" x14ac:dyDescent="0.3"/>
  <sheetData>
    <row r="1" spans="1:7" x14ac:dyDescent="0.3">
      <c r="A1" s="35" t="s">
        <v>0</v>
      </c>
      <c r="B1" s="35"/>
      <c r="C1" s="35"/>
      <c r="D1" s="35"/>
      <c r="E1" s="35"/>
      <c r="F1" s="35"/>
      <c r="G1" s="35"/>
    </row>
    <row r="2" spans="1:7" x14ac:dyDescent="0.3">
      <c r="A2" s="35"/>
      <c r="B2" s="35"/>
      <c r="C2" s="35"/>
      <c r="D2" s="35"/>
      <c r="E2" s="35"/>
      <c r="F2" s="35"/>
      <c r="G2" s="35"/>
    </row>
    <row r="3" spans="1:7" x14ac:dyDescent="0.3">
      <c r="A3" s="35"/>
      <c r="B3" s="35"/>
      <c r="C3" s="35"/>
      <c r="D3" s="35"/>
      <c r="E3" s="35"/>
      <c r="F3" s="35"/>
      <c r="G3" s="35"/>
    </row>
    <row r="4" spans="1:7" x14ac:dyDescent="0.3">
      <c r="A4" s="35"/>
      <c r="B4" s="35"/>
      <c r="C4" s="35"/>
      <c r="D4" s="35"/>
      <c r="E4" s="35"/>
      <c r="F4" s="35"/>
      <c r="G4" s="35"/>
    </row>
    <row r="5" spans="1:7" x14ac:dyDescent="0.3">
      <c r="A5" s="35"/>
      <c r="B5" s="35"/>
      <c r="C5" s="35"/>
      <c r="D5" s="35"/>
      <c r="E5" s="35"/>
      <c r="F5" s="35"/>
      <c r="G5" s="35"/>
    </row>
    <row r="6" spans="1:7" x14ac:dyDescent="0.3">
      <c r="A6" s="35"/>
      <c r="B6" s="35"/>
      <c r="C6" s="35"/>
      <c r="D6" s="35"/>
      <c r="E6" s="35"/>
      <c r="F6" s="35"/>
      <c r="G6" s="35"/>
    </row>
    <row r="7" spans="1:7" x14ac:dyDescent="0.3">
      <c r="A7" s="35"/>
      <c r="B7" s="35"/>
      <c r="C7" s="35"/>
      <c r="D7" s="35"/>
      <c r="E7" s="35"/>
      <c r="F7" s="35"/>
      <c r="G7" s="35"/>
    </row>
    <row r="8" spans="1:7" x14ac:dyDescent="0.3">
      <c r="A8" s="35"/>
      <c r="B8" s="35"/>
      <c r="C8" s="35"/>
      <c r="D8" s="35"/>
      <c r="E8" s="35"/>
      <c r="F8" s="35"/>
      <c r="G8" s="35"/>
    </row>
    <row r="9" spans="1:7" x14ac:dyDescent="0.3">
      <c r="A9" s="35"/>
      <c r="B9" s="35"/>
      <c r="C9" s="35"/>
      <c r="D9" s="35"/>
      <c r="E9" s="35"/>
      <c r="F9" s="35"/>
      <c r="G9" s="35"/>
    </row>
    <row r="10" spans="1:7" x14ac:dyDescent="0.3">
      <c r="A10" s="35"/>
      <c r="B10" s="35"/>
      <c r="C10" s="35"/>
      <c r="D10" s="35"/>
      <c r="E10" s="35"/>
      <c r="F10" s="35"/>
      <c r="G10" s="35"/>
    </row>
    <row r="11" spans="1:7" x14ac:dyDescent="0.3">
      <c r="A11" s="35"/>
      <c r="B11" s="35"/>
      <c r="C11" s="35"/>
      <c r="D11" s="35"/>
      <c r="E11" s="35"/>
      <c r="F11" s="35"/>
      <c r="G11" s="35"/>
    </row>
    <row r="12" spans="1:7" x14ac:dyDescent="0.3">
      <c r="A12" s="35"/>
      <c r="B12" s="35"/>
      <c r="C12" s="35"/>
      <c r="D12" s="35"/>
      <c r="E12" s="35"/>
      <c r="F12" s="35"/>
      <c r="G12" s="35"/>
    </row>
    <row r="13" spans="1:7" x14ac:dyDescent="0.3">
      <c r="A13" s="35"/>
      <c r="B13" s="35"/>
      <c r="C13" s="35"/>
      <c r="D13" s="35"/>
      <c r="E13" s="35"/>
      <c r="F13" s="35"/>
      <c r="G13" s="35"/>
    </row>
    <row r="14" spans="1:7" x14ac:dyDescent="0.3">
      <c r="A14" s="35"/>
      <c r="B14" s="35"/>
      <c r="C14" s="35"/>
      <c r="D14" s="35"/>
      <c r="E14" s="35"/>
      <c r="F14" s="35"/>
      <c r="G14" s="35"/>
    </row>
    <row r="15" spans="1:7" x14ac:dyDescent="0.3">
      <c r="A15" s="35"/>
      <c r="B15" s="35"/>
      <c r="C15" s="35"/>
      <c r="D15" s="35"/>
      <c r="E15" s="35"/>
      <c r="F15" s="35"/>
      <c r="G15" s="35"/>
    </row>
  </sheetData>
  <mergeCells count="1">
    <mergeCell ref="A1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E0A4-6E08-414A-BA60-8332651A730C}">
  <dimension ref="A1:J1048576"/>
  <sheetViews>
    <sheetView workbookViewId="0">
      <selection activeCell="E26" sqref="E26"/>
    </sheetView>
  </sheetViews>
  <sheetFormatPr baseColWidth="10" defaultRowHeight="15.6" x14ac:dyDescent="0.3"/>
  <cols>
    <col min="2" max="2" width="27.69921875" customWidth="1"/>
    <col min="3" max="3" width="7.3984375" bestFit="1" customWidth="1"/>
    <col min="4" max="4" width="12.796875" bestFit="1" customWidth="1"/>
    <col min="7" max="7" width="22.3984375" customWidth="1"/>
    <col min="8" max="8" width="7.5" bestFit="1" customWidth="1"/>
    <col min="9" max="9" width="1.8984375" bestFit="1" customWidth="1"/>
    <col min="10" max="10" width="12.796875" bestFit="1" customWidth="1"/>
  </cols>
  <sheetData>
    <row r="1" spans="1:10" x14ac:dyDescent="0.3">
      <c r="A1" s="38" t="s">
        <v>15</v>
      </c>
      <c r="B1" s="39"/>
      <c r="C1" s="39"/>
      <c r="D1" s="39"/>
      <c r="F1" s="38" t="s">
        <v>14</v>
      </c>
      <c r="G1" s="38"/>
      <c r="H1" s="38"/>
      <c r="I1" s="38"/>
      <c r="J1" s="38"/>
    </row>
    <row r="2" spans="1:10" x14ac:dyDescent="0.3">
      <c r="A2" s="40" t="s">
        <v>4</v>
      </c>
      <c r="B2" s="40"/>
      <c r="C2" s="4" t="s">
        <v>2</v>
      </c>
      <c r="D2" s="5" t="s">
        <v>3</v>
      </c>
      <c r="F2" s="40" t="s">
        <v>4</v>
      </c>
      <c r="G2" s="40"/>
      <c r="H2" s="4" t="s">
        <v>2</v>
      </c>
      <c r="I2" s="3"/>
      <c r="J2" s="5" t="s">
        <v>3</v>
      </c>
    </row>
    <row r="3" spans="1:10" x14ac:dyDescent="0.3">
      <c r="A3" s="36" t="s">
        <v>6</v>
      </c>
      <c r="B3" s="36"/>
      <c r="C3" s="1">
        <v>30.7</v>
      </c>
      <c r="D3" s="2" t="s">
        <v>5</v>
      </c>
      <c r="F3" s="36" t="s">
        <v>16</v>
      </c>
      <c r="G3" s="36"/>
      <c r="H3" s="13">
        <f>C4-C3</f>
        <v>3.5000000000000036</v>
      </c>
      <c r="I3" s="1" t="s">
        <v>25</v>
      </c>
      <c r="J3" s="8">
        <f t="shared" ref="J3:J9" si="0">SQRT(0.05^2 + 0.05^2)</f>
        <v>7.0710678118654766E-2</v>
      </c>
    </row>
    <row r="4" spans="1:10" x14ac:dyDescent="0.3">
      <c r="A4" s="36" t="s">
        <v>7</v>
      </c>
      <c r="B4" s="36"/>
      <c r="C4" s="1">
        <v>34.200000000000003</v>
      </c>
      <c r="D4" s="2" t="s">
        <v>5</v>
      </c>
      <c r="F4" s="36" t="s">
        <v>18</v>
      </c>
      <c r="G4" s="36"/>
      <c r="H4" s="1">
        <f>C4-C5</f>
        <v>0.60000000000000142</v>
      </c>
      <c r="I4" s="1" t="s">
        <v>25</v>
      </c>
      <c r="J4" s="7">
        <f t="shared" si="0"/>
        <v>7.0710678118654766E-2</v>
      </c>
    </row>
    <row r="5" spans="1:10" x14ac:dyDescent="0.3">
      <c r="A5" s="36" t="s">
        <v>8</v>
      </c>
      <c r="B5" s="36"/>
      <c r="C5" s="1">
        <v>33.6</v>
      </c>
      <c r="D5" s="2" t="s">
        <v>5</v>
      </c>
      <c r="F5" s="36" t="s">
        <v>17</v>
      </c>
      <c r="G5" s="36"/>
      <c r="H5" s="1">
        <f>C5-C3</f>
        <v>2.9000000000000021</v>
      </c>
      <c r="I5" s="1" t="s">
        <v>25</v>
      </c>
      <c r="J5" s="7">
        <f t="shared" si="0"/>
        <v>7.0710678118654766E-2</v>
      </c>
    </row>
    <row r="6" spans="1:10" x14ac:dyDescent="0.3">
      <c r="A6" s="36" t="s">
        <v>9</v>
      </c>
      <c r="B6" s="36"/>
      <c r="C6" s="1">
        <v>143.1</v>
      </c>
      <c r="D6" s="2" t="s">
        <v>5</v>
      </c>
      <c r="F6" s="36" t="s">
        <v>19</v>
      </c>
      <c r="G6" s="36"/>
      <c r="H6" s="1">
        <f>C6-C3</f>
        <v>112.39999999999999</v>
      </c>
      <c r="I6" s="1" t="s">
        <v>25</v>
      </c>
      <c r="J6" s="7">
        <f t="shared" si="0"/>
        <v>7.0710678118654766E-2</v>
      </c>
    </row>
    <row r="7" spans="1:10" x14ac:dyDescent="0.3">
      <c r="A7" s="36" t="s">
        <v>10</v>
      </c>
      <c r="B7" s="36"/>
      <c r="C7" s="1">
        <v>184.4</v>
      </c>
      <c r="D7" s="2" t="s">
        <v>5</v>
      </c>
      <c r="F7" s="36" t="s">
        <v>20</v>
      </c>
      <c r="G7" s="36"/>
      <c r="H7" s="1">
        <f>C7-C6</f>
        <v>41.300000000000011</v>
      </c>
      <c r="I7" s="1" t="s">
        <v>25</v>
      </c>
      <c r="J7" s="7">
        <f t="shared" si="0"/>
        <v>7.0710678118654766E-2</v>
      </c>
    </row>
    <row r="8" spans="1:10" x14ac:dyDescent="0.3">
      <c r="A8" s="36" t="s">
        <v>11</v>
      </c>
      <c r="B8" s="36"/>
      <c r="C8" s="1">
        <v>0.02</v>
      </c>
      <c r="D8" s="2" t="s">
        <v>5</v>
      </c>
      <c r="F8" s="36" t="s">
        <v>35</v>
      </c>
      <c r="G8" s="36"/>
      <c r="H8" s="1">
        <f>$C$9-$C$10</f>
        <v>0.40000000000000568</v>
      </c>
      <c r="I8" s="1" t="s">
        <v>25</v>
      </c>
      <c r="J8" s="7">
        <f t="shared" si="0"/>
        <v>7.0710678118654766E-2</v>
      </c>
    </row>
    <row r="9" spans="1:10" ht="31.8" customHeight="1" x14ac:dyDescent="0.3">
      <c r="A9" s="37" t="s">
        <v>12</v>
      </c>
      <c r="B9" s="37"/>
      <c r="C9" s="1">
        <v>195.4</v>
      </c>
      <c r="D9" s="2" t="s">
        <v>5</v>
      </c>
      <c r="F9" s="37" t="s">
        <v>43</v>
      </c>
      <c r="G9" s="37"/>
      <c r="H9" s="1">
        <v>0.76</v>
      </c>
      <c r="I9" s="1" t="s">
        <v>25</v>
      </c>
      <c r="J9" s="7">
        <f t="shared" si="0"/>
        <v>7.0710678118654766E-2</v>
      </c>
    </row>
    <row r="10" spans="1:10" ht="30.6" customHeight="1" x14ac:dyDescent="0.3">
      <c r="A10" s="37" t="s">
        <v>13</v>
      </c>
      <c r="B10" s="37"/>
      <c r="C10" s="1">
        <v>195</v>
      </c>
      <c r="D10" s="2" t="s">
        <v>5</v>
      </c>
      <c r="F10" s="42" t="s">
        <v>51</v>
      </c>
      <c r="G10" s="42"/>
      <c r="H10" s="42"/>
      <c r="I10" s="42"/>
      <c r="J10" s="42"/>
    </row>
    <row r="11" spans="1:10" x14ac:dyDescent="0.3">
      <c r="A11" s="38" t="s">
        <v>21</v>
      </c>
      <c r="B11" s="39"/>
      <c r="C11" s="39"/>
      <c r="D11" s="39"/>
      <c r="F11" s="37" t="s">
        <v>52</v>
      </c>
      <c r="G11" s="37"/>
      <c r="H11" s="37"/>
      <c r="I11" s="37"/>
      <c r="J11" s="37"/>
    </row>
    <row r="12" spans="1:10" x14ac:dyDescent="0.3">
      <c r="A12" s="40" t="s">
        <v>4</v>
      </c>
      <c r="B12" s="40"/>
      <c r="C12" s="43" t="s">
        <v>2</v>
      </c>
      <c r="D12" s="44"/>
      <c r="F12" s="36" t="s">
        <v>55</v>
      </c>
      <c r="G12" s="36"/>
      <c r="H12" s="1" t="s">
        <v>56</v>
      </c>
      <c r="I12" s="1" t="s">
        <v>25</v>
      </c>
      <c r="J12" s="1">
        <v>0.5</v>
      </c>
    </row>
    <row r="13" spans="1:10" x14ac:dyDescent="0.3">
      <c r="A13" s="36" t="s">
        <v>22</v>
      </c>
      <c r="B13" s="36"/>
      <c r="C13" s="36">
        <v>1.976</v>
      </c>
      <c r="D13" s="36"/>
    </row>
    <row r="14" spans="1:10" x14ac:dyDescent="0.3">
      <c r="A14" s="36" t="s">
        <v>23</v>
      </c>
      <c r="B14" s="36"/>
      <c r="C14" s="36">
        <v>1</v>
      </c>
      <c r="D14" s="36"/>
    </row>
    <row r="15" spans="1:10" x14ac:dyDescent="0.3">
      <c r="A15" s="36" t="s">
        <v>24</v>
      </c>
      <c r="B15" s="36"/>
      <c r="C15" s="36">
        <v>0.32400000000000001</v>
      </c>
      <c r="D15" s="36"/>
    </row>
    <row r="16" spans="1:10" x14ac:dyDescent="0.3">
      <c r="A16" s="36" t="s">
        <v>31</v>
      </c>
      <c r="B16" s="36"/>
      <c r="C16" s="33">
        <v>44.01</v>
      </c>
      <c r="D16" s="32"/>
    </row>
    <row r="17" spans="1:4" x14ac:dyDescent="0.3">
      <c r="A17" s="36" t="s">
        <v>42</v>
      </c>
      <c r="B17" s="36"/>
      <c r="C17" s="36">
        <v>84.018000000000001</v>
      </c>
      <c r="D17" s="36"/>
    </row>
    <row r="1048576" spans="6:10" x14ac:dyDescent="0.3">
      <c r="F1048576" s="41" t="s">
        <v>51</v>
      </c>
      <c r="G1048576" s="41"/>
      <c r="H1048576" s="41"/>
      <c r="I1048576" s="41"/>
      <c r="J1048576" s="41"/>
    </row>
  </sheetData>
  <mergeCells count="36">
    <mergeCell ref="F1048576:J1048576"/>
    <mergeCell ref="F11:J11"/>
    <mergeCell ref="A15:B15"/>
    <mergeCell ref="C15:D15"/>
    <mergeCell ref="F12:G12"/>
    <mergeCell ref="A16:B16"/>
    <mergeCell ref="A17:B17"/>
    <mergeCell ref="C16:D16"/>
    <mergeCell ref="C17:D17"/>
    <mergeCell ref="A12:B12"/>
    <mergeCell ref="C12:D12"/>
    <mergeCell ref="A13:B13"/>
    <mergeCell ref="C13:D13"/>
    <mergeCell ref="A14:B14"/>
    <mergeCell ref="C14:D14"/>
    <mergeCell ref="A1:D1"/>
    <mergeCell ref="F2:G2"/>
    <mergeCell ref="F3:G3"/>
    <mergeCell ref="F4:G4"/>
    <mergeCell ref="F5:G5"/>
    <mergeCell ref="A3:B3"/>
    <mergeCell ref="A2:B2"/>
    <mergeCell ref="A4:B4"/>
    <mergeCell ref="A5:B5"/>
    <mergeCell ref="F1:J1"/>
    <mergeCell ref="F6:G6"/>
    <mergeCell ref="F7:G7"/>
    <mergeCell ref="F8:G8"/>
    <mergeCell ref="F9:G9"/>
    <mergeCell ref="A11:D11"/>
    <mergeCell ref="A7:B7"/>
    <mergeCell ref="F10:J10"/>
    <mergeCell ref="A8:B8"/>
    <mergeCell ref="A9:B9"/>
    <mergeCell ref="A10:B10"/>
    <mergeCell ref="A6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A95F-CEC9-4A58-87CA-4D8FE5C0A72C}">
  <dimension ref="A1:C4"/>
  <sheetViews>
    <sheetView zoomScale="220" zoomScaleNormal="220" workbookViewId="0">
      <selection activeCell="B11" sqref="B11"/>
    </sheetView>
  </sheetViews>
  <sheetFormatPr baseColWidth="10" defaultRowHeight="15.6" x14ac:dyDescent="0.3"/>
  <cols>
    <col min="3" max="3" width="12.796875" bestFit="1" customWidth="1"/>
  </cols>
  <sheetData>
    <row r="1" spans="1:3" x14ac:dyDescent="0.3">
      <c r="A1" s="38" t="s">
        <v>26</v>
      </c>
      <c r="B1" s="38"/>
      <c r="C1" s="38"/>
    </row>
    <row r="2" spans="1:3" x14ac:dyDescent="0.3">
      <c r="A2" s="40" t="s">
        <v>4</v>
      </c>
      <c r="B2" s="40"/>
      <c r="C2" s="5" t="s">
        <v>3</v>
      </c>
    </row>
    <row r="3" spans="1:3" x14ac:dyDescent="0.3">
      <c r="A3" s="36" t="s">
        <v>27</v>
      </c>
      <c r="B3" s="36"/>
      <c r="C3" s="2" t="s">
        <v>29</v>
      </c>
    </row>
    <row r="4" spans="1:3" x14ac:dyDescent="0.3">
      <c r="A4" s="36" t="s">
        <v>28</v>
      </c>
      <c r="B4" s="36"/>
      <c r="C4" s="2" t="s">
        <v>30</v>
      </c>
    </row>
  </sheetData>
  <mergeCells count="4">
    <mergeCell ref="A1:C1"/>
    <mergeCell ref="A2:B2"/>
    <mergeCell ref="A3:B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4CF8-F555-449A-9B95-6B39E7608D13}">
  <dimension ref="A1:D10"/>
  <sheetViews>
    <sheetView workbookViewId="0">
      <selection activeCell="C28" sqref="C28"/>
    </sheetView>
  </sheetViews>
  <sheetFormatPr baseColWidth="10" defaultRowHeight="15.6" x14ac:dyDescent="0.3"/>
  <sheetData>
    <row r="1" spans="1:4" x14ac:dyDescent="0.3">
      <c r="A1" s="45" t="s">
        <v>34</v>
      </c>
      <c r="B1" s="45"/>
      <c r="C1" s="45"/>
      <c r="D1" s="45"/>
    </row>
    <row r="4" spans="1:4" x14ac:dyDescent="0.3">
      <c r="A4" s="46" t="s">
        <v>48</v>
      </c>
      <c r="B4" s="46"/>
    </row>
    <row r="10" spans="1:4" x14ac:dyDescent="0.3">
      <c r="A10" s="47" t="s">
        <v>53</v>
      </c>
      <c r="B10" s="47"/>
    </row>
  </sheetData>
  <mergeCells count="3">
    <mergeCell ref="A1:D1"/>
    <mergeCell ref="A4:B4"/>
    <mergeCell ref="A10:B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CB03-FC62-461E-B2B9-1401B7D3D717}">
  <dimension ref="A2:E12"/>
  <sheetViews>
    <sheetView topLeftCell="A4" workbookViewId="0">
      <selection activeCell="D20" sqref="D20"/>
    </sheetView>
  </sheetViews>
  <sheetFormatPr baseColWidth="10" defaultRowHeight="15.6" x14ac:dyDescent="0.3"/>
  <sheetData>
    <row r="2" spans="1:5" x14ac:dyDescent="0.3">
      <c r="A2" s="48" t="s">
        <v>33</v>
      </c>
      <c r="B2" s="48"/>
      <c r="C2" s="48"/>
    </row>
    <row r="6" spans="1:5" x14ac:dyDescent="0.3">
      <c r="A6" s="12" t="s">
        <v>47</v>
      </c>
      <c r="B6" s="12"/>
      <c r="C6" s="12"/>
      <c r="D6" s="12"/>
      <c r="E6" s="12"/>
    </row>
    <row r="12" spans="1:5" x14ac:dyDescent="0.3">
      <c r="A12" s="49" t="s">
        <v>54</v>
      </c>
      <c r="B12" s="49"/>
      <c r="C12" s="49"/>
    </row>
  </sheetData>
  <mergeCells count="2">
    <mergeCell ref="A2:C2"/>
    <mergeCell ref="A12:C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6438-D706-4394-91A4-90A306399F62}">
  <dimension ref="A1:B6"/>
  <sheetViews>
    <sheetView zoomScale="160" zoomScaleNormal="160" workbookViewId="0">
      <selection activeCell="B17" sqref="B17"/>
    </sheetView>
  </sheetViews>
  <sheetFormatPr baseColWidth="10" defaultRowHeight="15.6" x14ac:dyDescent="0.3"/>
  <cols>
    <col min="2" max="2" width="74.3984375" bestFit="1" customWidth="1"/>
  </cols>
  <sheetData>
    <row r="1" spans="1:2" x14ac:dyDescent="0.3">
      <c r="A1" s="51" t="s">
        <v>32</v>
      </c>
      <c r="B1" s="51"/>
    </row>
    <row r="2" spans="1:2" x14ac:dyDescent="0.3">
      <c r="A2" s="50">
        <v>1</v>
      </c>
      <c r="B2" s="37" t="s">
        <v>1</v>
      </c>
    </row>
    <row r="3" spans="1:2" x14ac:dyDescent="0.3">
      <c r="A3" s="50"/>
      <c r="B3" s="37"/>
    </row>
    <row r="4" spans="1:2" x14ac:dyDescent="0.3">
      <c r="A4" s="50">
        <v>2</v>
      </c>
      <c r="B4" s="37" t="s">
        <v>49</v>
      </c>
    </row>
    <row r="5" spans="1:2" x14ac:dyDescent="0.3">
      <c r="A5" s="50"/>
      <c r="B5" s="37"/>
    </row>
    <row r="6" spans="1:2" x14ac:dyDescent="0.3">
      <c r="A6" s="6">
        <v>3</v>
      </c>
      <c r="B6" s="6" t="s">
        <v>50</v>
      </c>
    </row>
  </sheetData>
  <mergeCells count="5">
    <mergeCell ref="B2:B3"/>
    <mergeCell ref="A2:A3"/>
    <mergeCell ref="A4:A5"/>
    <mergeCell ref="B4:B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Resultados de la práctica</vt:lpstr>
      <vt:lpstr>Diagrama de equipo</vt:lpstr>
      <vt:lpstr>Datos</vt:lpstr>
      <vt:lpstr>Incertidumbre en mediciones</vt:lpstr>
      <vt:lpstr>Muestras de calculo</vt:lpstr>
      <vt:lpstr>Calculos</vt:lpstr>
      <vt:lpstr>Cambios de procedimiento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2022-10-03T13:11:26Z</dcterms:created>
  <dcterms:modified xsi:type="dcterms:W3CDTF">2022-10-06T04:55:06Z</dcterms:modified>
</cp:coreProperties>
</file>